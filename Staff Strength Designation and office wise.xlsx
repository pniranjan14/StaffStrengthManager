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P Main\KOTTAYAM DiST\HS DCK\"/>
    </mc:Choice>
  </mc:AlternateContent>
  <xr:revisionPtr revIDLastSave="0" documentId="8_{81F1B99A-D3E4-42B1-99BC-89A79C2C2818}" xr6:coauthVersionLast="36" xr6:coauthVersionMax="36" xr10:uidLastSave="{00000000-0000-0000-0000-000000000000}"/>
  <bookViews>
    <workbookView xWindow="0" yWindow="0" windowWidth="11688" windowHeight="5640" xr2:uid="{1E8A6493-81ED-4FF1-8111-3F8F747314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53" i="1" l="1"/>
  <c r="AY53" i="1" s="1"/>
  <c r="AV53" i="1"/>
  <c r="AU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AX53" i="1" s="1"/>
  <c r="C53" i="1"/>
  <c r="AX52" i="1"/>
  <c r="AW52" i="1"/>
  <c r="AY52" i="1" s="1"/>
  <c r="AY49" i="1"/>
  <c r="AX49" i="1"/>
  <c r="AW49" i="1"/>
  <c r="AX48" i="1"/>
  <c r="AY48" i="1" s="1"/>
  <c r="AW48" i="1"/>
  <c r="AX47" i="1"/>
  <c r="AW47" i="1"/>
  <c r="AY47" i="1" s="1"/>
  <c r="AX46" i="1"/>
  <c r="AW46" i="1"/>
  <c r="AY46" i="1" s="1"/>
  <c r="AY45" i="1"/>
  <c r="AX45" i="1"/>
  <c r="AW45" i="1"/>
  <c r="AX44" i="1"/>
  <c r="AY44" i="1" s="1"/>
  <c r="AW44" i="1"/>
  <c r="AX43" i="1"/>
  <c r="AW43" i="1"/>
  <c r="AY43" i="1" s="1"/>
  <c r="AX42" i="1"/>
  <c r="AW42" i="1"/>
  <c r="AY42" i="1" s="1"/>
  <c r="AY41" i="1"/>
  <c r="AX41" i="1"/>
  <c r="AW41" i="1"/>
  <c r="AX40" i="1"/>
  <c r="AY40" i="1" s="1"/>
  <c r="AW40" i="1"/>
  <c r="AX39" i="1"/>
  <c r="AW39" i="1"/>
  <c r="AY39" i="1" s="1"/>
  <c r="AX38" i="1"/>
  <c r="AW38" i="1"/>
  <c r="AY38" i="1" s="1"/>
  <c r="AY37" i="1"/>
  <c r="AX37" i="1"/>
  <c r="AW37" i="1"/>
  <c r="AX36" i="1"/>
  <c r="AY36" i="1" s="1"/>
  <c r="AW36" i="1"/>
  <c r="AX35" i="1"/>
  <c r="AW35" i="1"/>
  <c r="AY35" i="1" s="1"/>
  <c r="AX34" i="1"/>
  <c r="AW34" i="1"/>
  <c r="AY34" i="1" s="1"/>
  <c r="AY33" i="1"/>
  <c r="AX33" i="1"/>
  <c r="AW33" i="1"/>
  <c r="AX32" i="1"/>
  <c r="AY32" i="1" s="1"/>
  <c r="AW32" i="1"/>
  <c r="AX31" i="1"/>
  <c r="AW31" i="1"/>
  <c r="AY31" i="1" s="1"/>
  <c r="AX30" i="1"/>
  <c r="AW30" i="1"/>
  <c r="AY30" i="1" s="1"/>
  <c r="AY29" i="1"/>
  <c r="AX29" i="1"/>
  <c r="AW29" i="1"/>
  <c r="AX28" i="1"/>
  <c r="AY28" i="1" s="1"/>
  <c r="AW28" i="1"/>
  <c r="AX27" i="1"/>
  <c r="AW27" i="1"/>
  <c r="AY27" i="1" s="1"/>
  <c r="AX26" i="1"/>
  <c r="AW26" i="1"/>
  <c r="AY26" i="1" s="1"/>
  <c r="AY25" i="1"/>
  <c r="AX25" i="1"/>
  <c r="AW25" i="1"/>
  <c r="AX24" i="1"/>
  <c r="AY24" i="1" s="1"/>
  <c r="AW24" i="1"/>
  <c r="AX23" i="1"/>
  <c r="AW23" i="1"/>
  <c r="AY23" i="1" s="1"/>
  <c r="AX22" i="1"/>
  <c r="AW22" i="1"/>
  <c r="AY22" i="1" s="1"/>
  <c r="AY21" i="1"/>
  <c r="AX21" i="1"/>
  <c r="AW21" i="1"/>
  <c r="AX20" i="1"/>
  <c r="AY20" i="1" s="1"/>
  <c r="AW20" i="1"/>
  <c r="AX19" i="1"/>
  <c r="AW19" i="1"/>
  <c r="AY19" i="1" s="1"/>
  <c r="AX18" i="1"/>
  <c r="AW18" i="1"/>
  <c r="AY18" i="1" s="1"/>
  <c r="AY17" i="1"/>
  <c r="AX17" i="1"/>
  <c r="AW17" i="1"/>
  <c r="AX16" i="1"/>
  <c r="AY16" i="1" s="1"/>
  <c r="AW16" i="1"/>
  <c r="AX15" i="1"/>
  <c r="AW15" i="1"/>
  <c r="AY15" i="1" s="1"/>
  <c r="AX14" i="1"/>
  <c r="AW14" i="1"/>
  <c r="AY14" i="1" s="1"/>
  <c r="AY13" i="1"/>
  <c r="AX13" i="1"/>
  <c r="AW13" i="1"/>
  <c r="AX12" i="1"/>
  <c r="AY12" i="1" s="1"/>
  <c r="AW12" i="1"/>
  <c r="AX11" i="1"/>
  <c r="AW11" i="1"/>
  <c r="AY11" i="1" s="1"/>
  <c r="AX10" i="1"/>
  <c r="AW10" i="1"/>
  <c r="AY10" i="1" s="1"/>
  <c r="AY9" i="1"/>
  <c r="AX9" i="1"/>
  <c r="AW9" i="1"/>
  <c r="AX8" i="1"/>
  <c r="AY8" i="1" s="1"/>
  <c r="AW8" i="1"/>
  <c r="AX7" i="1"/>
  <c r="AW7" i="1"/>
  <c r="AY7" i="1" s="1"/>
  <c r="AX6" i="1"/>
  <c r="AW6" i="1"/>
  <c r="AY6" i="1" s="1"/>
  <c r="AY5" i="1"/>
  <c r="AX5" i="1"/>
  <c r="AW5" i="1"/>
  <c r="AX4" i="1"/>
  <c r="AY4" i="1" s="1"/>
  <c r="AW4" i="1"/>
</calcChain>
</file>

<file path=xl/sharedStrings.xml><?xml version="1.0" encoding="utf-8"?>
<sst xmlns="http://schemas.openxmlformats.org/spreadsheetml/2006/main" count="122" uniqueCount="74">
  <si>
    <t>Namr of Offices</t>
  </si>
  <si>
    <t>DC KTYM</t>
  </si>
  <si>
    <t>RDO KTM</t>
  </si>
  <si>
    <t>RDO PALA</t>
  </si>
  <si>
    <t>PSO KTM</t>
  </si>
  <si>
    <t>Taluk KTM</t>
  </si>
  <si>
    <t>Taluk KPLY</t>
  </si>
  <si>
    <t>Taluk CHRY</t>
  </si>
  <si>
    <t>Taluk MNL</t>
  </si>
  <si>
    <t>Taluk VKM</t>
  </si>
  <si>
    <t>RR KTM</t>
  </si>
  <si>
    <t>RR PALA</t>
  </si>
  <si>
    <t>LA Gl KTM</t>
  </si>
  <si>
    <t>LA Gl PALA</t>
  </si>
  <si>
    <t>LA KiiFB, Vaikom</t>
  </si>
  <si>
    <t>LA Mundakkayam</t>
  </si>
  <si>
    <t>LA Greenfield</t>
  </si>
  <si>
    <t>KSFE KTM</t>
  </si>
  <si>
    <t>Resurvey PALA</t>
  </si>
  <si>
    <t>Resurvey KTM</t>
  </si>
  <si>
    <t>Resurvey Supdt Pala</t>
  </si>
  <si>
    <t>Mapping KTM</t>
  </si>
  <si>
    <t>Resurvey VKM 1</t>
  </si>
  <si>
    <t>Resurvey VKM 2</t>
  </si>
  <si>
    <t>Designation</t>
  </si>
  <si>
    <t>P</t>
  </si>
  <si>
    <t>T</t>
  </si>
  <si>
    <t>GT</t>
  </si>
  <si>
    <t>DC</t>
  </si>
  <si>
    <t>SC</t>
  </si>
  <si>
    <t>RDO</t>
  </si>
  <si>
    <t>DY CLTR</t>
  </si>
  <si>
    <t>PSO</t>
  </si>
  <si>
    <t>DLO</t>
  </si>
  <si>
    <t>Legal Asst</t>
  </si>
  <si>
    <t>DD SLR</t>
  </si>
  <si>
    <t>FO</t>
  </si>
  <si>
    <t>CA</t>
  </si>
  <si>
    <t>HS</t>
  </si>
  <si>
    <t>THR</t>
  </si>
  <si>
    <t>SS</t>
  </si>
  <si>
    <t>JS</t>
  </si>
  <si>
    <t>DT</t>
  </si>
  <si>
    <t>VA</t>
  </si>
  <si>
    <t>CI</t>
  </si>
  <si>
    <t>RI</t>
  </si>
  <si>
    <t>HC</t>
  </si>
  <si>
    <t>VO</t>
  </si>
  <si>
    <t>Supdt SLR</t>
  </si>
  <si>
    <t>Hd Sy</t>
  </si>
  <si>
    <t>Surveyor</t>
  </si>
  <si>
    <t>Draftsman</t>
  </si>
  <si>
    <t>Tracer</t>
  </si>
  <si>
    <t>Blue printer</t>
  </si>
  <si>
    <t>Sr Clerk</t>
  </si>
  <si>
    <t>Clerk</t>
  </si>
  <si>
    <t>SVO</t>
  </si>
  <si>
    <t>FCS</t>
  </si>
  <si>
    <t>Sl Gr Typist</t>
  </si>
  <si>
    <t>Sr Gr Typist</t>
  </si>
  <si>
    <t>UD Typist</t>
  </si>
  <si>
    <t>LD Typist</t>
  </si>
  <si>
    <t>Attender</t>
  </si>
  <si>
    <t>Sergernt</t>
  </si>
  <si>
    <t>Duffedar</t>
  </si>
  <si>
    <t>Chowkidar</t>
  </si>
  <si>
    <t>Gardner</t>
  </si>
  <si>
    <t>VFA</t>
  </si>
  <si>
    <t xml:space="preserve">OA </t>
  </si>
  <si>
    <t>Driver</t>
  </si>
  <si>
    <t>Chain man</t>
  </si>
  <si>
    <t>PTS</t>
  </si>
  <si>
    <t>Casual sweeper</t>
  </si>
  <si>
    <t>lift 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</si>
</sst>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vertical="center" textRotation="90" wrapText="1"/>
    </xf>
    <xf numFmtId="0" fontId="1" fillId="0" borderId="0" xfId="0" applyFont="1" applyFill="1" applyAlignment="1">
      <alignment horizontal="center" vertical="center" wrapText="1"/>
    </xf>
    <xf numFmtId="0" fontId="1" fillId="0" borderId="2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1" xfId="0" applyFill="1" applyBorder="1"/>
    <xf numFmtId="0" fontId="0" fillId="0" borderId="1" xfId="0" applyFont="1" applyFill="1" applyBorder="1" applyAlignment="1">
      <alignment horizontal="left"/>
    </xf>
    <xf numFmtId="0" fontId="0" fillId="0" borderId="0" xfId="0" applyFill="1"/>
    <xf numFmtId="0" fontId="0" fillId="0" borderId="1" xfId="0" applyFont="1" applyFill="1" applyBorder="1" applyAlignment="1"/>
    <xf numFmtId="0" fontId="0" fillId="0" borderId="1" xfId="0" applyFont="1" applyFill="1" applyBorder="1" applyAlignment="1">
      <alignment textRotation="90" wrapText="1"/>
    </xf>
    <xf numFmtId="0" fontId="0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57BA7-D904-4A2E-A8F1-38A39BD3D90B}">
  <dimension ref="A2:AY53"/>
  <sheetViews>
    <sheetView tabSelected="1" workbookViewId="0">
      <selection sqref="A1:XFD1048576"/>
    </sheetView>
  </sheetViews>
  <sheetFormatPr defaultRowHeight="14.4" x14ac:dyDescent="0.3"/>
  <cols>
    <col min="1" max="1" width="3" style="11" bestFit="1" customWidth="1"/>
    <col min="2" max="2" width="13.88671875" style="14" bestFit="1" customWidth="1"/>
    <col min="3" max="3" width="4" style="11" bestFit="1" customWidth="1"/>
    <col min="4" max="10" width="2.77734375" style="11" customWidth="1"/>
    <col min="11" max="11" width="4" style="11" bestFit="1" customWidth="1"/>
    <col min="12" max="12" width="2.77734375" style="11" customWidth="1"/>
    <col min="13" max="13" width="4" style="11" bestFit="1" customWidth="1"/>
    <col min="14" max="14" width="2.77734375" style="11" customWidth="1"/>
    <col min="15" max="15" width="4" style="11" customWidth="1"/>
    <col min="16" max="16" width="2.77734375" style="11" customWidth="1"/>
    <col min="17" max="17" width="3.88671875" style="11" customWidth="1"/>
    <col min="18" max="18" width="2.77734375" style="11" customWidth="1"/>
    <col min="19" max="19" width="4" style="11" bestFit="1" customWidth="1"/>
    <col min="20" max="48" width="2.77734375" style="11" customWidth="1"/>
    <col min="49" max="49" width="5" style="11" bestFit="1" customWidth="1"/>
    <col min="50" max="50" width="4" style="11" bestFit="1" customWidth="1"/>
    <col min="51" max="51" width="5" style="11" bestFit="1" customWidth="1"/>
    <col min="52" max="16384" width="8.88671875" style="11"/>
  </cols>
  <sheetData>
    <row r="2" spans="1:51" s="5" customFormat="1" ht="71.400000000000006" customHeight="1" x14ac:dyDescent="0.3">
      <c r="A2" s="1"/>
      <c r="B2" s="2" t="s">
        <v>0</v>
      </c>
      <c r="C2" s="3" t="s">
        <v>1</v>
      </c>
      <c r="D2" s="3"/>
      <c r="E2" s="3" t="s">
        <v>2</v>
      </c>
      <c r="F2" s="3"/>
      <c r="G2" s="3" t="s">
        <v>3</v>
      </c>
      <c r="H2" s="3"/>
      <c r="I2" s="3" t="s">
        <v>4</v>
      </c>
      <c r="J2" s="3"/>
      <c r="K2" s="3" t="s">
        <v>5</v>
      </c>
      <c r="L2" s="3"/>
      <c r="M2" s="3" t="s">
        <v>6</v>
      </c>
      <c r="N2" s="3"/>
      <c r="O2" s="3" t="s">
        <v>7</v>
      </c>
      <c r="P2" s="3"/>
      <c r="Q2" s="3" t="s">
        <v>8</v>
      </c>
      <c r="R2" s="3"/>
      <c r="S2" s="3" t="s">
        <v>9</v>
      </c>
      <c r="T2" s="3"/>
      <c r="U2" s="3" t="s">
        <v>10</v>
      </c>
      <c r="V2" s="3"/>
      <c r="W2" s="3" t="s">
        <v>11</v>
      </c>
      <c r="X2" s="3"/>
      <c r="Y2" s="3" t="s">
        <v>12</v>
      </c>
      <c r="Z2" s="3"/>
      <c r="AA2" s="3" t="s">
        <v>13</v>
      </c>
      <c r="AB2" s="3"/>
      <c r="AC2" s="3" t="s">
        <v>14</v>
      </c>
      <c r="AD2" s="3"/>
      <c r="AE2" s="3" t="s">
        <v>15</v>
      </c>
      <c r="AF2" s="3"/>
      <c r="AG2" s="3" t="s">
        <v>16</v>
      </c>
      <c r="AH2" s="3"/>
      <c r="AI2" s="3" t="s">
        <v>17</v>
      </c>
      <c r="AJ2" s="3"/>
      <c r="AK2" s="3" t="s">
        <v>18</v>
      </c>
      <c r="AL2" s="3"/>
      <c r="AM2" s="3" t="s">
        <v>19</v>
      </c>
      <c r="AN2" s="3"/>
      <c r="AO2" s="3" t="s">
        <v>20</v>
      </c>
      <c r="AP2" s="3"/>
      <c r="AQ2" s="3" t="s">
        <v>21</v>
      </c>
      <c r="AR2" s="3"/>
      <c r="AS2" s="3" t="s">
        <v>22</v>
      </c>
      <c r="AT2" s="3"/>
      <c r="AU2" s="3" t="s">
        <v>23</v>
      </c>
      <c r="AV2" s="3"/>
      <c r="AW2" s="4"/>
      <c r="AX2" s="4"/>
      <c r="AY2" s="4"/>
    </row>
    <row r="3" spans="1:51" s="8" customFormat="1" x14ac:dyDescent="0.3">
      <c r="A3" s="6"/>
      <c r="B3" s="7" t="s">
        <v>24</v>
      </c>
      <c r="C3" s="6" t="s">
        <v>25</v>
      </c>
      <c r="D3" s="6" t="s">
        <v>26</v>
      </c>
      <c r="E3" s="6" t="s">
        <v>25</v>
      </c>
      <c r="F3" s="6" t="s">
        <v>26</v>
      </c>
      <c r="G3" s="6" t="s">
        <v>25</v>
      </c>
      <c r="H3" s="6" t="s">
        <v>26</v>
      </c>
      <c r="I3" s="6" t="s">
        <v>25</v>
      </c>
      <c r="J3" s="6" t="s">
        <v>26</v>
      </c>
      <c r="K3" s="6" t="s">
        <v>25</v>
      </c>
      <c r="L3" s="6" t="s">
        <v>26</v>
      </c>
      <c r="M3" s="6" t="s">
        <v>25</v>
      </c>
      <c r="N3" s="6" t="s">
        <v>26</v>
      </c>
      <c r="O3" s="6" t="s">
        <v>25</v>
      </c>
      <c r="P3" s="6" t="s">
        <v>26</v>
      </c>
      <c r="Q3" s="6" t="s">
        <v>25</v>
      </c>
      <c r="R3" s="6" t="s">
        <v>26</v>
      </c>
      <c r="S3" s="6" t="s">
        <v>25</v>
      </c>
      <c r="T3" s="6" t="s">
        <v>26</v>
      </c>
      <c r="U3" s="6" t="s">
        <v>25</v>
      </c>
      <c r="V3" s="6" t="s">
        <v>26</v>
      </c>
      <c r="W3" s="6" t="s">
        <v>25</v>
      </c>
      <c r="X3" s="6" t="s">
        <v>26</v>
      </c>
      <c r="Y3" s="6" t="s">
        <v>25</v>
      </c>
      <c r="Z3" s="6" t="s">
        <v>26</v>
      </c>
      <c r="AA3" s="6" t="s">
        <v>25</v>
      </c>
      <c r="AB3" s="6" t="s">
        <v>26</v>
      </c>
      <c r="AC3" s="6" t="s">
        <v>25</v>
      </c>
      <c r="AD3" s="6" t="s">
        <v>26</v>
      </c>
      <c r="AE3" s="6" t="s">
        <v>25</v>
      </c>
      <c r="AF3" s="6" t="s">
        <v>26</v>
      </c>
      <c r="AG3" s="6" t="s">
        <v>25</v>
      </c>
      <c r="AH3" s="6" t="s">
        <v>26</v>
      </c>
      <c r="AI3" s="6" t="s">
        <v>25</v>
      </c>
      <c r="AJ3" s="6" t="s">
        <v>26</v>
      </c>
      <c r="AK3" s="6" t="s">
        <v>25</v>
      </c>
      <c r="AL3" s="6" t="s">
        <v>26</v>
      </c>
      <c r="AM3" s="6" t="s">
        <v>25</v>
      </c>
      <c r="AN3" s="6" t="s">
        <v>26</v>
      </c>
      <c r="AO3" s="6" t="s">
        <v>25</v>
      </c>
      <c r="AP3" s="6" t="s">
        <v>26</v>
      </c>
      <c r="AQ3" s="6" t="s">
        <v>25</v>
      </c>
      <c r="AR3" s="6" t="s">
        <v>26</v>
      </c>
      <c r="AS3" s="6" t="s">
        <v>25</v>
      </c>
      <c r="AT3" s="6" t="s">
        <v>26</v>
      </c>
      <c r="AU3" s="6" t="s">
        <v>25</v>
      </c>
      <c r="AV3" s="6" t="s">
        <v>26</v>
      </c>
      <c r="AW3" s="6" t="s">
        <v>25</v>
      </c>
      <c r="AX3" s="6" t="s">
        <v>26</v>
      </c>
      <c r="AY3" s="6" t="s">
        <v>27</v>
      </c>
    </row>
    <row r="4" spans="1:51" x14ac:dyDescent="0.3">
      <c r="A4" s="9">
        <v>1</v>
      </c>
      <c r="B4" s="10" t="s">
        <v>28</v>
      </c>
      <c r="C4" s="9">
        <v>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>
        <f t="shared" ref="AW4:AX19" si="0">C4+E4+G4+I4+K4+M4+O4+Q4+S4+U4+W4+Y4+AA4+AC4+AE4+AG4+AI4+AK4+AM4+AQ4+AU4</f>
        <v>1</v>
      </c>
      <c r="AX4" s="9">
        <f t="shared" si="0"/>
        <v>0</v>
      </c>
      <c r="AY4" s="9">
        <f t="shared" ref="AY4:AY49" si="1">AW4+AX4</f>
        <v>1</v>
      </c>
    </row>
    <row r="5" spans="1:51" x14ac:dyDescent="0.3">
      <c r="A5" s="9">
        <v>2</v>
      </c>
      <c r="B5" s="12" t="s">
        <v>29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>
        <f t="shared" si="0"/>
        <v>0</v>
      </c>
      <c r="AX5" s="9">
        <f t="shared" si="0"/>
        <v>0</v>
      </c>
      <c r="AY5" s="9">
        <f t="shared" si="1"/>
        <v>0</v>
      </c>
    </row>
    <row r="6" spans="1:51" x14ac:dyDescent="0.3">
      <c r="A6" s="9">
        <v>3</v>
      </c>
      <c r="B6" s="12" t="s">
        <v>30</v>
      </c>
      <c r="C6" s="9"/>
      <c r="D6" s="9"/>
      <c r="E6" s="9">
        <v>1</v>
      </c>
      <c r="F6" s="9"/>
      <c r="G6" s="9">
        <v>1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>
        <f t="shared" si="0"/>
        <v>2</v>
      </c>
      <c r="AX6" s="9">
        <f t="shared" si="0"/>
        <v>0</v>
      </c>
      <c r="AY6" s="9">
        <f t="shared" si="1"/>
        <v>2</v>
      </c>
    </row>
    <row r="7" spans="1:51" x14ac:dyDescent="0.3">
      <c r="A7" s="9">
        <v>4</v>
      </c>
      <c r="B7" s="12" t="s">
        <v>31</v>
      </c>
      <c r="C7" s="9">
        <v>5</v>
      </c>
      <c r="D7" s="9"/>
      <c r="E7" s="9"/>
      <c r="F7" s="9"/>
      <c r="G7" s="9"/>
      <c r="H7" s="9"/>
      <c r="I7" s="9">
        <v>1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>
        <f t="shared" si="0"/>
        <v>6</v>
      </c>
      <c r="AX7" s="9">
        <f t="shared" si="0"/>
        <v>0</v>
      </c>
      <c r="AY7" s="9">
        <f t="shared" si="1"/>
        <v>6</v>
      </c>
    </row>
    <row r="8" spans="1:51" x14ac:dyDescent="0.3">
      <c r="A8" s="9">
        <v>5</v>
      </c>
      <c r="B8" s="12" t="s">
        <v>32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>
        <f t="shared" si="0"/>
        <v>0</v>
      </c>
      <c r="AX8" s="9">
        <f t="shared" si="0"/>
        <v>0</v>
      </c>
      <c r="AY8" s="9">
        <f t="shared" si="1"/>
        <v>0</v>
      </c>
    </row>
    <row r="9" spans="1:51" x14ac:dyDescent="0.3">
      <c r="A9" s="9">
        <v>6</v>
      </c>
      <c r="B9" s="12" t="s">
        <v>33</v>
      </c>
      <c r="C9" s="9">
        <v>1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>
        <f t="shared" si="0"/>
        <v>1</v>
      </c>
      <c r="AX9" s="9">
        <f t="shared" si="0"/>
        <v>0</v>
      </c>
      <c r="AY9" s="9">
        <f t="shared" si="1"/>
        <v>1</v>
      </c>
    </row>
    <row r="10" spans="1:51" x14ac:dyDescent="0.3">
      <c r="A10" s="9">
        <v>7</v>
      </c>
      <c r="B10" s="12" t="s">
        <v>34</v>
      </c>
      <c r="C10" s="9">
        <v>1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>
        <f t="shared" si="0"/>
        <v>1</v>
      </c>
      <c r="AX10" s="9">
        <f t="shared" si="0"/>
        <v>0</v>
      </c>
      <c r="AY10" s="9">
        <f t="shared" si="1"/>
        <v>1</v>
      </c>
    </row>
    <row r="11" spans="1:51" x14ac:dyDescent="0.3">
      <c r="A11" s="9">
        <v>8</v>
      </c>
      <c r="B11" s="12" t="s">
        <v>35</v>
      </c>
      <c r="C11" s="9">
        <v>1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>
        <f t="shared" si="0"/>
        <v>1</v>
      </c>
      <c r="AX11" s="9">
        <f t="shared" si="0"/>
        <v>0</v>
      </c>
      <c r="AY11" s="9">
        <f t="shared" si="1"/>
        <v>1</v>
      </c>
    </row>
    <row r="12" spans="1:51" x14ac:dyDescent="0.3">
      <c r="A12" s="9">
        <v>9</v>
      </c>
      <c r="B12" s="12" t="s">
        <v>36</v>
      </c>
      <c r="C12" s="9">
        <v>1</v>
      </c>
      <c r="D12" s="9"/>
      <c r="E12" s="9"/>
      <c r="F12" s="9"/>
      <c r="G12" s="9">
        <v>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>
        <f t="shared" si="0"/>
        <v>1</v>
      </c>
      <c r="AX12" s="9">
        <f t="shared" si="0"/>
        <v>0</v>
      </c>
      <c r="AY12" s="9">
        <f t="shared" si="1"/>
        <v>1</v>
      </c>
    </row>
    <row r="13" spans="1:51" x14ac:dyDescent="0.3">
      <c r="A13" s="9">
        <v>10</v>
      </c>
      <c r="B13" s="12" t="s">
        <v>37</v>
      </c>
      <c r="C13" s="9">
        <v>4</v>
      </c>
      <c r="D13" s="9"/>
      <c r="E13" s="9">
        <v>1</v>
      </c>
      <c r="F13" s="9"/>
      <c r="G13" s="9">
        <v>1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>
        <f t="shared" si="0"/>
        <v>6</v>
      </c>
      <c r="AX13" s="9">
        <f t="shared" si="0"/>
        <v>0</v>
      </c>
      <c r="AY13" s="9">
        <f t="shared" si="1"/>
        <v>6</v>
      </c>
    </row>
    <row r="14" spans="1:51" x14ac:dyDescent="0.3">
      <c r="A14" s="9">
        <v>11</v>
      </c>
      <c r="B14" s="12" t="s">
        <v>38</v>
      </c>
      <c r="C14" s="9">
        <v>1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>
        <f t="shared" si="0"/>
        <v>1</v>
      </c>
      <c r="AX14" s="9">
        <f t="shared" si="0"/>
        <v>0</v>
      </c>
      <c r="AY14" s="9">
        <f t="shared" si="1"/>
        <v>1</v>
      </c>
    </row>
    <row r="15" spans="1:51" x14ac:dyDescent="0.3">
      <c r="A15" s="9">
        <v>12</v>
      </c>
      <c r="B15" s="12" t="s">
        <v>39</v>
      </c>
      <c r="C15" s="9"/>
      <c r="D15" s="9"/>
      <c r="E15" s="9"/>
      <c r="F15" s="9"/>
      <c r="G15" s="9"/>
      <c r="H15" s="9"/>
      <c r="I15" s="9"/>
      <c r="J15" s="9"/>
      <c r="K15" s="9">
        <v>2</v>
      </c>
      <c r="L15" s="9"/>
      <c r="M15" s="9">
        <v>2</v>
      </c>
      <c r="N15" s="9"/>
      <c r="O15" s="9">
        <v>2</v>
      </c>
      <c r="P15" s="9"/>
      <c r="Q15" s="9">
        <v>2</v>
      </c>
      <c r="R15" s="9"/>
      <c r="S15" s="9">
        <v>2</v>
      </c>
      <c r="T15" s="9"/>
      <c r="U15" s="9">
        <v>1</v>
      </c>
      <c r="V15" s="9"/>
      <c r="W15" s="9">
        <v>1</v>
      </c>
      <c r="X15" s="9"/>
      <c r="Y15" s="9">
        <v>1</v>
      </c>
      <c r="Z15" s="9"/>
      <c r="AA15" s="9">
        <v>1</v>
      </c>
      <c r="AB15" s="9"/>
      <c r="AC15" s="9">
        <v>1</v>
      </c>
      <c r="AD15" s="9"/>
      <c r="AE15" s="9">
        <v>1</v>
      </c>
      <c r="AF15" s="9"/>
      <c r="AG15" s="9">
        <v>1</v>
      </c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>
        <f t="shared" si="0"/>
        <v>17</v>
      </c>
      <c r="AX15" s="9">
        <f t="shared" si="0"/>
        <v>0</v>
      </c>
      <c r="AY15" s="9">
        <f t="shared" si="1"/>
        <v>17</v>
      </c>
    </row>
    <row r="16" spans="1:51" x14ac:dyDescent="0.3">
      <c r="A16" s="9">
        <v>13</v>
      </c>
      <c r="B16" s="12" t="s">
        <v>40</v>
      </c>
      <c r="C16" s="9">
        <v>2</v>
      </c>
      <c r="D16" s="9"/>
      <c r="E16" s="9">
        <v>1</v>
      </c>
      <c r="F16" s="9"/>
      <c r="G16" s="9">
        <v>1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>
        <f t="shared" si="0"/>
        <v>4</v>
      </c>
      <c r="AX16" s="9">
        <f t="shared" si="0"/>
        <v>0</v>
      </c>
      <c r="AY16" s="9">
        <f t="shared" si="1"/>
        <v>4</v>
      </c>
    </row>
    <row r="17" spans="1:51" x14ac:dyDescent="0.3">
      <c r="A17" s="9">
        <v>14</v>
      </c>
      <c r="B17" s="12" t="s">
        <v>41</v>
      </c>
      <c r="C17" s="9">
        <v>14</v>
      </c>
      <c r="D17" s="9">
        <v>2</v>
      </c>
      <c r="E17" s="9">
        <v>1</v>
      </c>
      <c r="F17" s="9"/>
      <c r="G17" s="9">
        <v>1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>
        <v>5</v>
      </c>
      <c r="X17" s="9"/>
      <c r="Y17" s="9">
        <v>1</v>
      </c>
      <c r="Z17" s="9"/>
      <c r="AA17" s="9">
        <v>2</v>
      </c>
      <c r="AB17" s="9"/>
      <c r="AC17" s="9">
        <v>1</v>
      </c>
      <c r="AD17" s="9"/>
      <c r="AE17" s="9"/>
      <c r="AF17" s="9"/>
      <c r="AG17" s="9">
        <v>1</v>
      </c>
      <c r="AH17" s="9"/>
      <c r="AI17" s="9"/>
      <c r="AJ17" s="9"/>
      <c r="AK17" s="9"/>
      <c r="AL17" s="9"/>
      <c r="AM17" s="9">
        <v>1</v>
      </c>
      <c r="AN17" s="9"/>
      <c r="AO17" s="9"/>
      <c r="AP17" s="9"/>
      <c r="AQ17" s="9"/>
      <c r="AR17" s="9"/>
      <c r="AS17" s="9"/>
      <c r="AT17" s="9"/>
      <c r="AU17" s="9"/>
      <c r="AV17" s="9"/>
      <c r="AW17" s="9">
        <f t="shared" si="0"/>
        <v>27</v>
      </c>
      <c r="AX17" s="9">
        <f t="shared" si="0"/>
        <v>2</v>
      </c>
      <c r="AY17" s="9">
        <f t="shared" si="1"/>
        <v>29</v>
      </c>
    </row>
    <row r="18" spans="1:51" x14ac:dyDescent="0.3">
      <c r="A18" s="9">
        <v>15</v>
      </c>
      <c r="B18" s="12" t="s">
        <v>42</v>
      </c>
      <c r="C18" s="9"/>
      <c r="D18" s="9"/>
      <c r="E18" s="9"/>
      <c r="F18" s="9"/>
      <c r="G18" s="9"/>
      <c r="H18" s="9"/>
      <c r="I18" s="9"/>
      <c r="J18" s="9"/>
      <c r="K18" s="9">
        <v>11</v>
      </c>
      <c r="L18" s="9"/>
      <c r="M18" s="9">
        <v>10</v>
      </c>
      <c r="N18" s="9"/>
      <c r="O18" s="9">
        <v>11</v>
      </c>
      <c r="P18" s="9"/>
      <c r="Q18" s="9">
        <v>11</v>
      </c>
      <c r="R18" s="9"/>
      <c r="S18" s="9">
        <v>10</v>
      </c>
      <c r="T18" s="9"/>
      <c r="U18" s="9">
        <v>2</v>
      </c>
      <c r="V18" s="9"/>
      <c r="W18" s="9"/>
      <c r="X18" s="9"/>
      <c r="Y18" s="9">
        <v>1</v>
      </c>
      <c r="Z18" s="9"/>
      <c r="AA18" s="9"/>
      <c r="AB18" s="9"/>
      <c r="AC18" s="9"/>
      <c r="AD18" s="9"/>
      <c r="AE18" s="9">
        <v>1</v>
      </c>
      <c r="AF18" s="9"/>
      <c r="AG18" s="9"/>
      <c r="AH18" s="9"/>
      <c r="AI18" s="9">
        <v>1</v>
      </c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>
        <f t="shared" si="0"/>
        <v>58</v>
      </c>
      <c r="AX18" s="9">
        <f t="shared" si="0"/>
        <v>0</v>
      </c>
      <c r="AY18" s="9">
        <f t="shared" si="1"/>
        <v>58</v>
      </c>
    </row>
    <row r="19" spans="1:51" x14ac:dyDescent="0.3">
      <c r="A19" s="9">
        <v>16</v>
      </c>
      <c r="B19" s="12" t="s">
        <v>43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>
        <v>1</v>
      </c>
      <c r="Z19" s="9"/>
      <c r="AA19" s="9">
        <v>1</v>
      </c>
      <c r="AB19" s="9"/>
      <c r="AC19" s="9">
        <v>1</v>
      </c>
      <c r="AD19" s="9"/>
      <c r="AE19" s="9"/>
      <c r="AF19" s="9"/>
      <c r="AG19" s="9">
        <v>2</v>
      </c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>
        <f t="shared" si="0"/>
        <v>5</v>
      </c>
      <c r="AX19" s="9">
        <f t="shared" si="0"/>
        <v>0</v>
      </c>
      <c r="AY19" s="9">
        <f t="shared" si="1"/>
        <v>5</v>
      </c>
    </row>
    <row r="20" spans="1:51" x14ac:dyDescent="0.3">
      <c r="A20" s="9">
        <v>17</v>
      </c>
      <c r="B20" s="12" t="s">
        <v>44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>
        <f t="shared" ref="AW20:AX54" si="2">C20+E20+G20+I20+K20+M20+O20+Q20+S20+U20+W20+Y20+AA20+AC20+AE20+AG20+AI20+AK20+AM20+AQ20+AU20</f>
        <v>0</v>
      </c>
      <c r="AX20" s="9">
        <f t="shared" si="2"/>
        <v>0</v>
      </c>
      <c r="AY20" s="9">
        <f t="shared" si="1"/>
        <v>0</v>
      </c>
    </row>
    <row r="21" spans="1:51" x14ac:dyDescent="0.3">
      <c r="A21" s="9">
        <v>18</v>
      </c>
      <c r="B21" s="12" t="s">
        <v>45</v>
      </c>
      <c r="C21" s="9">
        <v>2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>
        <v>3</v>
      </c>
      <c r="V21" s="9"/>
      <c r="W21" s="9"/>
      <c r="X21" s="9"/>
      <c r="Y21" s="9">
        <v>2</v>
      </c>
      <c r="Z21" s="9"/>
      <c r="AA21" s="9">
        <v>2</v>
      </c>
      <c r="AB21" s="9"/>
      <c r="AC21" s="9">
        <v>3</v>
      </c>
      <c r="AD21" s="9"/>
      <c r="AE21" s="9">
        <v>2</v>
      </c>
      <c r="AF21" s="9"/>
      <c r="AG21" s="9">
        <v>3</v>
      </c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>
        <f t="shared" si="2"/>
        <v>17</v>
      </c>
      <c r="AX21" s="9">
        <f t="shared" si="2"/>
        <v>0</v>
      </c>
      <c r="AY21" s="9">
        <f t="shared" si="1"/>
        <v>17</v>
      </c>
    </row>
    <row r="22" spans="1:51" x14ac:dyDescent="0.3">
      <c r="A22" s="9">
        <v>19</v>
      </c>
      <c r="B22" s="12" t="s">
        <v>46</v>
      </c>
      <c r="C22" s="9"/>
      <c r="D22" s="9"/>
      <c r="E22" s="9"/>
      <c r="F22" s="9"/>
      <c r="G22" s="9"/>
      <c r="H22" s="9"/>
      <c r="I22" s="9">
        <v>1</v>
      </c>
      <c r="J22" s="9"/>
      <c r="K22" s="9">
        <v>1</v>
      </c>
      <c r="L22" s="9"/>
      <c r="M22" s="9">
        <v>13</v>
      </c>
      <c r="N22" s="9"/>
      <c r="O22" s="9"/>
      <c r="P22" s="9"/>
      <c r="Q22" s="9">
        <v>1</v>
      </c>
      <c r="R22" s="9"/>
      <c r="S22" s="9">
        <v>1</v>
      </c>
      <c r="T22" s="9"/>
      <c r="U22" s="9"/>
      <c r="V22" s="9"/>
      <c r="W22" s="9"/>
      <c r="X22" s="9"/>
      <c r="Y22" s="9">
        <v>1</v>
      </c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>
        <f t="shared" si="2"/>
        <v>18</v>
      </c>
      <c r="AX22" s="9">
        <f t="shared" si="2"/>
        <v>0</v>
      </c>
      <c r="AY22" s="9">
        <f t="shared" si="1"/>
        <v>18</v>
      </c>
    </row>
    <row r="23" spans="1:51" x14ac:dyDescent="0.3">
      <c r="A23" s="9">
        <v>20</v>
      </c>
      <c r="B23" s="12" t="s">
        <v>47</v>
      </c>
      <c r="C23" s="9"/>
      <c r="D23" s="9"/>
      <c r="E23" s="9"/>
      <c r="F23" s="9"/>
      <c r="G23" s="9"/>
      <c r="H23" s="9"/>
      <c r="I23" s="9"/>
      <c r="J23" s="9"/>
      <c r="K23" s="9">
        <v>26</v>
      </c>
      <c r="L23" s="9"/>
      <c r="M23" s="9"/>
      <c r="N23" s="9"/>
      <c r="O23" s="9">
        <v>15</v>
      </c>
      <c r="P23" s="9"/>
      <c r="Q23" s="9">
        <v>28</v>
      </c>
      <c r="R23" s="9"/>
      <c r="S23" s="9">
        <v>18</v>
      </c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>
        <f t="shared" si="2"/>
        <v>87</v>
      </c>
      <c r="AX23" s="9">
        <f t="shared" si="2"/>
        <v>0</v>
      </c>
      <c r="AY23" s="9">
        <f t="shared" si="1"/>
        <v>87</v>
      </c>
    </row>
    <row r="24" spans="1:51" x14ac:dyDescent="0.3">
      <c r="A24" s="9">
        <v>21</v>
      </c>
      <c r="B24" s="12" t="s">
        <v>48</v>
      </c>
      <c r="C24" s="9">
        <v>1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>
        <f t="shared" si="2"/>
        <v>1</v>
      </c>
      <c r="AX24" s="9">
        <f t="shared" si="2"/>
        <v>0</v>
      </c>
      <c r="AY24" s="9">
        <f t="shared" si="1"/>
        <v>1</v>
      </c>
    </row>
    <row r="25" spans="1:51" x14ac:dyDescent="0.3">
      <c r="A25" s="9">
        <v>22</v>
      </c>
      <c r="B25" s="12" t="s">
        <v>49</v>
      </c>
      <c r="C25" s="9">
        <v>1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>
        <f t="shared" si="2"/>
        <v>1</v>
      </c>
      <c r="AX25" s="9">
        <f t="shared" si="2"/>
        <v>0</v>
      </c>
      <c r="AY25" s="9">
        <f t="shared" si="1"/>
        <v>1</v>
      </c>
    </row>
    <row r="26" spans="1:51" x14ac:dyDescent="0.3">
      <c r="A26" s="9">
        <v>23</v>
      </c>
      <c r="B26" s="12" t="s">
        <v>50</v>
      </c>
      <c r="C26" s="9"/>
      <c r="D26" s="9"/>
      <c r="E26" s="9"/>
      <c r="F26" s="9"/>
      <c r="G26" s="9"/>
      <c r="H26" s="9"/>
      <c r="I26" s="9"/>
      <c r="J26" s="9"/>
      <c r="K26" s="9">
        <v>0</v>
      </c>
      <c r="L26" s="9"/>
      <c r="M26" s="9"/>
      <c r="N26" s="9"/>
      <c r="O26" s="9">
        <v>1</v>
      </c>
      <c r="P26" s="9"/>
      <c r="Q26" s="9">
        <v>0</v>
      </c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>
        <v>1</v>
      </c>
      <c r="AD26" s="9"/>
      <c r="AE26" s="9">
        <v>4</v>
      </c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>
        <f t="shared" si="2"/>
        <v>6</v>
      </c>
      <c r="AX26" s="9">
        <f t="shared" si="2"/>
        <v>0</v>
      </c>
      <c r="AY26" s="9">
        <f t="shared" si="1"/>
        <v>6</v>
      </c>
    </row>
    <row r="27" spans="1:51" x14ac:dyDescent="0.3">
      <c r="A27" s="9">
        <v>24</v>
      </c>
      <c r="B27" s="12" t="s">
        <v>50</v>
      </c>
      <c r="C27" s="9">
        <v>2</v>
      </c>
      <c r="D27" s="9"/>
      <c r="E27" s="9"/>
      <c r="F27" s="9"/>
      <c r="G27" s="9"/>
      <c r="H27" s="9"/>
      <c r="I27" s="9"/>
      <c r="J27" s="9"/>
      <c r="K27" s="9">
        <v>2</v>
      </c>
      <c r="L27" s="9"/>
      <c r="M27" s="9">
        <v>2</v>
      </c>
      <c r="N27" s="9"/>
      <c r="O27" s="9">
        <v>1</v>
      </c>
      <c r="P27" s="9"/>
      <c r="Q27" s="9">
        <v>2</v>
      </c>
      <c r="R27" s="9"/>
      <c r="S27" s="9">
        <v>2</v>
      </c>
      <c r="T27" s="9"/>
      <c r="U27" s="9"/>
      <c r="V27" s="9"/>
      <c r="W27" s="9"/>
      <c r="X27" s="9"/>
      <c r="Y27" s="9">
        <v>3</v>
      </c>
      <c r="Z27" s="9"/>
      <c r="AA27" s="9">
        <v>4</v>
      </c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>
        <f t="shared" si="2"/>
        <v>18</v>
      </c>
      <c r="AX27" s="9">
        <f t="shared" si="2"/>
        <v>0</v>
      </c>
      <c r="AY27" s="9">
        <f t="shared" si="1"/>
        <v>18</v>
      </c>
    </row>
    <row r="28" spans="1:51" x14ac:dyDescent="0.3">
      <c r="A28" s="9">
        <v>25</v>
      </c>
      <c r="B28" s="12" t="s">
        <v>51</v>
      </c>
      <c r="C28" s="9">
        <v>2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>
        <f t="shared" si="2"/>
        <v>2</v>
      </c>
      <c r="AX28" s="9">
        <f t="shared" si="2"/>
        <v>0</v>
      </c>
      <c r="AY28" s="9">
        <f t="shared" si="1"/>
        <v>2</v>
      </c>
    </row>
    <row r="29" spans="1:51" x14ac:dyDescent="0.3">
      <c r="A29" s="9">
        <v>26</v>
      </c>
      <c r="B29" s="12" t="s">
        <v>52</v>
      </c>
      <c r="C29" s="9">
        <v>1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>
        <f t="shared" si="2"/>
        <v>1</v>
      </c>
      <c r="AX29" s="9">
        <f t="shared" si="2"/>
        <v>0</v>
      </c>
      <c r="AY29" s="9">
        <f t="shared" si="1"/>
        <v>1</v>
      </c>
    </row>
    <row r="30" spans="1:51" x14ac:dyDescent="0.3">
      <c r="A30" s="9">
        <v>27</v>
      </c>
      <c r="B30" s="12" t="s">
        <v>53</v>
      </c>
      <c r="C30" s="9">
        <v>1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>
        <f t="shared" si="2"/>
        <v>1</v>
      </c>
      <c r="AX30" s="9">
        <f t="shared" si="2"/>
        <v>0</v>
      </c>
      <c r="AY30" s="9">
        <f t="shared" si="1"/>
        <v>1</v>
      </c>
    </row>
    <row r="31" spans="1:51" x14ac:dyDescent="0.3">
      <c r="A31" s="9">
        <v>28</v>
      </c>
      <c r="B31" s="12" t="s">
        <v>54</v>
      </c>
      <c r="C31" s="9">
        <v>40</v>
      </c>
      <c r="D31" s="9">
        <v>1</v>
      </c>
      <c r="E31" s="9">
        <v>3</v>
      </c>
      <c r="F31" s="9"/>
      <c r="G31" s="9">
        <v>3</v>
      </c>
      <c r="H31" s="9"/>
      <c r="I31" s="9">
        <v>2</v>
      </c>
      <c r="J31" s="9"/>
      <c r="K31" s="9">
        <v>54</v>
      </c>
      <c r="L31" s="9"/>
      <c r="M31" s="9">
        <v>34</v>
      </c>
      <c r="N31" s="9"/>
      <c r="O31" s="9">
        <v>34</v>
      </c>
      <c r="P31" s="9"/>
      <c r="Q31" s="9">
        <v>58</v>
      </c>
      <c r="R31" s="9"/>
      <c r="S31" s="9">
        <v>38</v>
      </c>
      <c r="T31" s="9"/>
      <c r="U31" s="9">
        <v>6</v>
      </c>
      <c r="V31" s="9"/>
      <c r="W31" s="9">
        <v>4</v>
      </c>
      <c r="X31" s="9"/>
      <c r="Y31" s="9">
        <v>2</v>
      </c>
      <c r="Z31" s="9"/>
      <c r="AA31" s="9">
        <v>3</v>
      </c>
      <c r="AB31" s="9"/>
      <c r="AC31" s="9">
        <v>2</v>
      </c>
      <c r="AD31" s="9"/>
      <c r="AE31" s="9"/>
      <c r="AF31" s="9"/>
      <c r="AG31" s="9"/>
      <c r="AH31" s="9"/>
      <c r="AI31" s="9"/>
      <c r="AJ31" s="9"/>
      <c r="AK31" s="9">
        <v>1</v>
      </c>
      <c r="AL31" s="9"/>
      <c r="AM31" s="9">
        <v>2</v>
      </c>
      <c r="AN31" s="9"/>
      <c r="AO31" s="9">
        <v>1</v>
      </c>
      <c r="AP31" s="9"/>
      <c r="AQ31" s="9"/>
      <c r="AR31" s="9"/>
      <c r="AS31" s="9"/>
      <c r="AT31" s="9"/>
      <c r="AU31" s="9">
        <v>1</v>
      </c>
      <c r="AV31" s="9"/>
      <c r="AW31" s="9">
        <f t="shared" si="2"/>
        <v>287</v>
      </c>
      <c r="AX31" s="9">
        <f t="shared" si="2"/>
        <v>1</v>
      </c>
      <c r="AY31" s="9">
        <f t="shared" si="1"/>
        <v>288</v>
      </c>
    </row>
    <row r="32" spans="1:51" x14ac:dyDescent="0.3">
      <c r="A32" s="9">
        <v>29</v>
      </c>
      <c r="B32" s="12" t="s">
        <v>55</v>
      </c>
      <c r="C32" s="9">
        <v>40</v>
      </c>
      <c r="D32" s="9">
        <v>2</v>
      </c>
      <c r="E32" s="9">
        <v>8</v>
      </c>
      <c r="F32" s="9"/>
      <c r="G32" s="9">
        <v>6</v>
      </c>
      <c r="H32" s="9"/>
      <c r="I32" s="9">
        <v>3</v>
      </c>
      <c r="J32" s="9"/>
      <c r="K32" s="9">
        <v>54</v>
      </c>
      <c r="L32" s="9"/>
      <c r="M32" s="9">
        <v>32</v>
      </c>
      <c r="N32" s="9"/>
      <c r="O32" s="9">
        <v>34</v>
      </c>
      <c r="P32" s="9"/>
      <c r="Q32" s="9">
        <v>56</v>
      </c>
      <c r="R32" s="9">
        <v>1</v>
      </c>
      <c r="S32" s="9">
        <v>37</v>
      </c>
      <c r="T32" s="9"/>
      <c r="U32" s="9">
        <v>3</v>
      </c>
      <c r="V32" s="9"/>
      <c r="W32" s="9">
        <v>4</v>
      </c>
      <c r="X32" s="9"/>
      <c r="Y32" s="9">
        <v>7</v>
      </c>
      <c r="Z32" s="9"/>
      <c r="AA32" s="9">
        <v>2</v>
      </c>
      <c r="AB32" s="9"/>
      <c r="AC32" s="9">
        <v>3</v>
      </c>
      <c r="AD32" s="9"/>
      <c r="AE32" s="9">
        <v>6</v>
      </c>
      <c r="AF32" s="9"/>
      <c r="AG32" s="9">
        <v>2</v>
      </c>
      <c r="AH32" s="9">
        <v>0</v>
      </c>
      <c r="AI32" s="9"/>
      <c r="AJ32" s="9"/>
      <c r="AK32" s="9">
        <v>1</v>
      </c>
      <c r="AL32" s="9"/>
      <c r="AM32" s="9">
        <v>2</v>
      </c>
      <c r="AN32" s="9"/>
      <c r="AO32" s="9">
        <v>1</v>
      </c>
      <c r="AP32" s="9"/>
      <c r="AQ32" s="9">
        <v>2</v>
      </c>
      <c r="AR32" s="9"/>
      <c r="AS32" s="9"/>
      <c r="AT32" s="9"/>
      <c r="AU32" s="9">
        <v>1</v>
      </c>
      <c r="AV32" s="9"/>
      <c r="AW32" s="9">
        <f t="shared" si="2"/>
        <v>303</v>
      </c>
      <c r="AX32" s="9">
        <f t="shared" si="2"/>
        <v>3</v>
      </c>
      <c r="AY32" s="9">
        <f t="shared" si="1"/>
        <v>306</v>
      </c>
    </row>
    <row r="33" spans="1:51" x14ac:dyDescent="0.3">
      <c r="A33" s="9">
        <v>30</v>
      </c>
      <c r="B33" s="12" t="s">
        <v>56</v>
      </c>
      <c r="C33" s="9"/>
      <c r="D33" s="9"/>
      <c r="E33" s="9"/>
      <c r="F33" s="9"/>
      <c r="G33" s="9"/>
      <c r="H33" s="9"/>
      <c r="I33" s="9">
        <v>3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>
        <v>1</v>
      </c>
      <c r="AR33" s="9"/>
      <c r="AS33" s="9"/>
      <c r="AT33" s="9"/>
      <c r="AU33" s="9"/>
      <c r="AV33" s="9"/>
      <c r="AW33" s="9">
        <f t="shared" si="2"/>
        <v>4</v>
      </c>
      <c r="AX33" s="9">
        <f t="shared" si="2"/>
        <v>0</v>
      </c>
      <c r="AY33" s="9">
        <f t="shared" si="1"/>
        <v>4</v>
      </c>
    </row>
    <row r="34" spans="1:51" x14ac:dyDescent="0.3">
      <c r="A34" s="9">
        <v>31</v>
      </c>
      <c r="B34" s="12" t="s">
        <v>43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>
        <f t="shared" si="2"/>
        <v>0</v>
      </c>
      <c r="AX34" s="9">
        <f t="shared" si="2"/>
        <v>0</v>
      </c>
      <c r="AY34" s="9">
        <f t="shared" si="1"/>
        <v>0</v>
      </c>
    </row>
    <row r="35" spans="1:51" x14ac:dyDescent="0.3">
      <c r="A35" s="9">
        <v>32</v>
      </c>
      <c r="B35" s="12" t="s">
        <v>57</v>
      </c>
      <c r="C35" s="9">
        <v>2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>
        <f t="shared" si="2"/>
        <v>2</v>
      </c>
      <c r="AX35" s="9">
        <f t="shared" si="2"/>
        <v>0</v>
      </c>
      <c r="AY35" s="9">
        <f t="shared" si="1"/>
        <v>2</v>
      </c>
    </row>
    <row r="36" spans="1:51" x14ac:dyDescent="0.3">
      <c r="A36" s="9">
        <v>33</v>
      </c>
      <c r="B36" s="12" t="s">
        <v>58</v>
      </c>
      <c r="C36" s="9"/>
      <c r="D36" s="9"/>
      <c r="E36" s="9"/>
      <c r="F36" s="9"/>
      <c r="G36" s="9"/>
      <c r="H36" s="9"/>
      <c r="I36" s="9"/>
      <c r="J36" s="9"/>
      <c r="K36" s="9">
        <v>3</v>
      </c>
      <c r="L36" s="9"/>
      <c r="M36" s="9">
        <v>1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>
        <f t="shared" si="2"/>
        <v>4</v>
      </c>
      <c r="AX36" s="9">
        <f t="shared" si="2"/>
        <v>0</v>
      </c>
      <c r="AY36" s="9">
        <f t="shared" si="1"/>
        <v>4</v>
      </c>
    </row>
    <row r="37" spans="1:51" x14ac:dyDescent="0.3">
      <c r="A37" s="9">
        <v>34</v>
      </c>
      <c r="B37" s="12" t="s">
        <v>59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>
        <v>1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>
        <f t="shared" si="2"/>
        <v>1</v>
      </c>
      <c r="AX37" s="9">
        <f t="shared" si="2"/>
        <v>0</v>
      </c>
      <c r="AY37" s="9">
        <f t="shared" si="1"/>
        <v>1</v>
      </c>
    </row>
    <row r="38" spans="1:51" x14ac:dyDescent="0.3">
      <c r="A38" s="9">
        <v>35</v>
      </c>
      <c r="B38" s="12" t="s">
        <v>60</v>
      </c>
      <c r="C38" s="9"/>
      <c r="D38" s="9"/>
      <c r="E38" s="9"/>
      <c r="F38" s="9"/>
      <c r="G38" s="9"/>
      <c r="H38" s="9"/>
      <c r="I38" s="9">
        <v>1</v>
      </c>
      <c r="J38" s="9"/>
      <c r="K38" s="9"/>
      <c r="L38" s="9"/>
      <c r="M38" s="9">
        <v>1</v>
      </c>
      <c r="N38" s="9"/>
      <c r="O38" s="9">
        <v>1</v>
      </c>
      <c r="P38" s="9"/>
      <c r="Q38" s="9">
        <v>3</v>
      </c>
      <c r="R38" s="9"/>
      <c r="S38" s="9">
        <v>3</v>
      </c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>
        <v>1</v>
      </c>
      <c r="AL38" s="9"/>
      <c r="AM38" s="9">
        <v>1</v>
      </c>
      <c r="AN38" s="9"/>
      <c r="AO38" s="9"/>
      <c r="AP38" s="9"/>
      <c r="AQ38" s="9"/>
      <c r="AR38" s="9"/>
      <c r="AS38" s="9"/>
      <c r="AT38" s="9"/>
      <c r="AU38" s="9"/>
      <c r="AV38" s="9"/>
      <c r="AW38" s="9">
        <f t="shared" si="2"/>
        <v>11</v>
      </c>
      <c r="AX38" s="9">
        <f t="shared" si="2"/>
        <v>0</v>
      </c>
      <c r="AY38" s="9">
        <f t="shared" si="1"/>
        <v>11</v>
      </c>
    </row>
    <row r="39" spans="1:51" x14ac:dyDescent="0.3">
      <c r="A39" s="9">
        <v>36</v>
      </c>
      <c r="B39" s="12" t="s">
        <v>61</v>
      </c>
      <c r="C39" s="9">
        <v>20</v>
      </c>
      <c r="D39" s="9">
        <v>1</v>
      </c>
      <c r="E39" s="9">
        <v>1</v>
      </c>
      <c r="F39" s="9"/>
      <c r="G39" s="9">
        <v>1</v>
      </c>
      <c r="H39" s="9"/>
      <c r="I39" s="9"/>
      <c r="J39" s="9"/>
      <c r="K39" s="9"/>
      <c r="L39" s="9"/>
      <c r="M39" s="9"/>
      <c r="N39" s="9"/>
      <c r="O39" s="9">
        <v>2</v>
      </c>
      <c r="P39" s="9"/>
      <c r="Q39" s="9"/>
      <c r="R39" s="9"/>
      <c r="S39" s="9"/>
      <c r="T39" s="9"/>
      <c r="U39" s="9">
        <v>2</v>
      </c>
      <c r="V39" s="9"/>
      <c r="W39" s="9">
        <v>1</v>
      </c>
      <c r="X39" s="9"/>
      <c r="Y39" s="9">
        <v>1</v>
      </c>
      <c r="Z39" s="9"/>
      <c r="AA39" s="9">
        <v>1</v>
      </c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>
        <v>0</v>
      </c>
      <c r="AN39" s="9"/>
      <c r="AO39" s="9">
        <v>1</v>
      </c>
      <c r="AP39" s="9"/>
      <c r="AQ39" s="9"/>
      <c r="AR39" s="9"/>
      <c r="AS39" s="9"/>
      <c r="AT39" s="9"/>
      <c r="AU39" s="9">
        <v>1</v>
      </c>
      <c r="AV39" s="9"/>
      <c r="AW39" s="9">
        <f t="shared" si="2"/>
        <v>30</v>
      </c>
      <c r="AX39" s="9">
        <f t="shared" si="2"/>
        <v>1</v>
      </c>
      <c r="AY39" s="9">
        <f t="shared" si="1"/>
        <v>31</v>
      </c>
    </row>
    <row r="40" spans="1:51" x14ac:dyDescent="0.3">
      <c r="A40" s="9">
        <v>37</v>
      </c>
      <c r="B40" s="12" t="s">
        <v>62</v>
      </c>
      <c r="C40" s="9">
        <v>2</v>
      </c>
      <c r="D40" s="9"/>
      <c r="E40" s="9"/>
      <c r="F40" s="9"/>
      <c r="G40" s="9"/>
      <c r="H40" s="9"/>
      <c r="I40" s="9"/>
      <c r="J40" s="9"/>
      <c r="K40" s="9">
        <v>1</v>
      </c>
      <c r="L40" s="9">
        <v>0</v>
      </c>
      <c r="M40" s="9">
        <v>1</v>
      </c>
      <c r="N40" s="9"/>
      <c r="O40" s="9">
        <v>1</v>
      </c>
      <c r="P40" s="9"/>
      <c r="Q40" s="9">
        <v>1</v>
      </c>
      <c r="R40" s="9"/>
      <c r="S40" s="9">
        <v>1</v>
      </c>
      <c r="T40" s="9"/>
      <c r="U40" s="9"/>
      <c r="V40" s="9"/>
      <c r="W40" s="9">
        <v>1</v>
      </c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>
        <v>3</v>
      </c>
      <c r="AN40" s="9"/>
      <c r="AO40" s="9"/>
      <c r="AP40" s="9"/>
      <c r="AQ40" s="9">
        <v>1</v>
      </c>
      <c r="AR40" s="9"/>
      <c r="AS40" s="9"/>
      <c r="AT40" s="9"/>
      <c r="AU40" s="9"/>
      <c r="AV40" s="9"/>
      <c r="AW40" s="9">
        <f t="shared" si="2"/>
        <v>12</v>
      </c>
      <c r="AX40" s="9">
        <f t="shared" si="2"/>
        <v>0</v>
      </c>
      <c r="AY40" s="9">
        <f t="shared" si="1"/>
        <v>12</v>
      </c>
    </row>
    <row r="41" spans="1:51" x14ac:dyDescent="0.3">
      <c r="A41" s="9">
        <v>38</v>
      </c>
      <c r="B41" s="12" t="s">
        <v>63</v>
      </c>
      <c r="C41" s="9">
        <v>1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>
        <f t="shared" si="2"/>
        <v>1</v>
      </c>
      <c r="AX41" s="9">
        <f t="shared" si="2"/>
        <v>0</v>
      </c>
      <c r="AY41" s="9">
        <f t="shared" si="1"/>
        <v>1</v>
      </c>
    </row>
    <row r="42" spans="1:51" x14ac:dyDescent="0.3">
      <c r="A42" s="9">
        <v>39</v>
      </c>
      <c r="B42" s="12" t="s">
        <v>64</v>
      </c>
      <c r="C42" s="9">
        <v>1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>
        <f t="shared" si="2"/>
        <v>1</v>
      </c>
      <c r="AX42" s="9">
        <f t="shared" si="2"/>
        <v>0</v>
      </c>
      <c r="AY42" s="9">
        <f t="shared" si="1"/>
        <v>1</v>
      </c>
    </row>
    <row r="43" spans="1:51" x14ac:dyDescent="0.3">
      <c r="A43" s="9">
        <v>40</v>
      </c>
      <c r="B43" s="12" t="s">
        <v>65</v>
      </c>
      <c r="C43" s="9">
        <v>2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>
        <f t="shared" si="2"/>
        <v>2</v>
      </c>
      <c r="AX43" s="9">
        <f t="shared" si="2"/>
        <v>0</v>
      </c>
      <c r="AY43" s="9">
        <f t="shared" si="1"/>
        <v>2</v>
      </c>
    </row>
    <row r="44" spans="1:51" x14ac:dyDescent="0.3">
      <c r="A44" s="9">
        <v>41</v>
      </c>
      <c r="B44" s="12" t="s">
        <v>66</v>
      </c>
      <c r="C44" s="9">
        <v>6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>
        <f t="shared" si="2"/>
        <v>6</v>
      </c>
      <c r="AX44" s="9">
        <f t="shared" si="2"/>
        <v>0</v>
      </c>
      <c r="AY44" s="9">
        <f t="shared" si="1"/>
        <v>6</v>
      </c>
    </row>
    <row r="45" spans="1:51" x14ac:dyDescent="0.3">
      <c r="A45" s="9">
        <v>42</v>
      </c>
      <c r="B45" s="12" t="s">
        <v>67</v>
      </c>
      <c r="C45" s="9"/>
      <c r="D45" s="9"/>
      <c r="E45" s="9"/>
      <c r="F45" s="9"/>
      <c r="G45" s="9"/>
      <c r="H45" s="9"/>
      <c r="I45" s="9"/>
      <c r="J45" s="9"/>
      <c r="K45" s="9">
        <v>57</v>
      </c>
      <c r="L45" s="9">
        <v>5</v>
      </c>
      <c r="M45" s="9">
        <v>28</v>
      </c>
      <c r="N45" s="9"/>
      <c r="O45" s="9">
        <v>30</v>
      </c>
      <c r="P45" s="9">
        <v>3</v>
      </c>
      <c r="Q45" s="9">
        <v>64</v>
      </c>
      <c r="R45" s="9"/>
      <c r="S45" s="9">
        <v>38</v>
      </c>
      <c r="T45" s="9"/>
      <c r="U45" s="9"/>
      <c r="V45" s="9"/>
      <c r="W45" s="9"/>
      <c r="X45" s="9"/>
      <c r="Y45" s="9"/>
      <c r="Z45" s="9"/>
      <c r="AA45" s="9"/>
      <c r="AB45" s="9"/>
      <c r="AC45" s="9">
        <v>1</v>
      </c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>
        <f t="shared" si="2"/>
        <v>218</v>
      </c>
      <c r="AX45" s="9">
        <f t="shared" si="2"/>
        <v>8</v>
      </c>
      <c r="AY45" s="9">
        <f t="shared" si="1"/>
        <v>226</v>
      </c>
    </row>
    <row r="46" spans="1:51" x14ac:dyDescent="0.3">
      <c r="A46" s="9">
        <v>43</v>
      </c>
      <c r="B46" s="12" t="s">
        <v>68</v>
      </c>
      <c r="C46" s="9">
        <v>40</v>
      </c>
      <c r="D46" s="9">
        <v>1</v>
      </c>
      <c r="E46" s="9">
        <v>2</v>
      </c>
      <c r="F46" s="9"/>
      <c r="G46" s="9">
        <v>2</v>
      </c>
      <c r="H46" s="9"/>
      <c r="I46" s="9">
        <v>2</v>
      </c>
      <c r="J46" s="9"/>
      <c r="K46" s="9">
        <v>14</v>
      </c>
      <c r="L46" s="9">
        <v>1</v>
      </c>
      <c r="M46" s="9">
        <v>15</v>
      </c>
      <c r="N46" s="9">
        <v>1</v>
      </c>
      <c r="O46" s="9">
        <v>12</v>
      </c>
      <c r="P46" s="9">
        <v>4</v>
      </c>
      <c r="Q46" s="9">
        <v>15</v>
      </c>
      <c r="R46" s="9"/>
      <c r="S46" s="9">
        <v>13</v>
      </c>
      <c r="T46" s="9"/>
      <c r="U46" s="9">
        <v>2</v>
      </c>
      <c r="V46" s="9"/>
      <c r="W46" s="9">
        <v>4</v>
      </c>
      <c r="X46" s="9"/>
      <c r="Y46" s="9">
        <v>2</v>
      </c>
      <c r="Z46" s="9"/>
      <c r="AA46" s="9">
        <v>2</v>
      </c>
      <c r="AB46" s="9"/>
      <c r="AC46" s="9">
        <v>2</v>
      </c>
      <c r="AD46" s="9"/>
      <c r="AE46" s="9">
        <v>1</v>
      </c>
      <c r="AF46" s="9"/>
      <c r="AG46" s="9"/>
      <c r="AH46" s="9"/>
      <c r="AI46" s="9"/>
      <c r="AJ46" s="9"/>
      <c r="AK46" s="9">
        <v>3</v>
      </c>
      <c r="AL46" s="9"/>
      <c r="AM46" s="9">
        <v>5</v>
      </c>
      <c r="AN46" s="9"/>
      <c r="AO46" s="9">
        <v>3</v>
      </c>
      <c r="AP46" s="9"/>
      <c r="AQ46" s="9">
        <v>3</v>
      </c>
      <c r="AR46" s="9"/>
      <c r="AS46" s="9"/>
      <c r="AT46" s="9"/>
      <c r="AU46" s="9">
        <v>3</v>
      </c>
      <c r="AV46" s="9"/>
      <c r="AW46" s="9">
        <f t="shared" si="2"/>
        <v>142</v>
      </c>
      <c r="AX46" s="9">
        <f t="shared" si="2"/>
        <v>7</v>
      </c>
      <c r="AY46" s="9">
        <f t="shared" si="1"/>
        <v>149</v>
      </c>
    </row>
    <row r="47" spans="1:51" x14ac:dyDescent="0.3">
      <c r="A47" s="9">
        <v>44</v>
      </c>
      <c r="B47" s="12" t="s">
        <v>69</v>
      </c>
      <c r="C47" s="9">
        <v>6</v>
      </c>
      <c r="D47" s="9"/>
      <c r="E47" s="9">
        <v>1</v>
      </c>
      <c r="F47" s="9"/>
      <c r="G47" s="9">
        <v>1</v>
      </c>
      <c r="H47" s="9"/>
      <c r="I47" s="9"/>
      <c r="J47" s="9"/>
      <c r="K47" s="9">
        <v>1</v>
      </c>
      <c r="L47" s="9"/>
      <c r="M47" s="9">
        <v>1</v>
      </c>
      <c r="N47" s="9"/>
      <c r="O47" s="9">
        <v>1</v>
      </c>
      <c r="P47" s="9"/>
      <c r="Q47" s="9">
        <v>1</v>
      </c>
      <c r="R47" s="9"/>
      <c r="S47" s="9">
        <v>1</v>
      </c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>
        <f t="shared" si="2"/>
        <v>13</v>
      </c>
      <c r="AX47" s="9">
        <f t="shared" si="2"/>
        <v>0</v>
      </c>
      <c r="AY47" s="9">
        <f t="shared" si="1"/>
        <v>13</v>
      </c>
    </row>
    <row r="48" spans="1:51" x14ac:dyDescent="0.3">
      <c r="A48" s="9">
        <v>45</v>
      </c>
      <c r="B48" s="12" t="s">
        <v>70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>
        <f t="shared" si="2"/>
        <v>0</v>
      </c>
      <c r="AX48" s="9">
        <f t="shared" si="2"/>
        <v>0</v>
      </c>
      <c r="AY48" s="9">
        <f t="shared" si="1"/>
        <v>0</v>
      </c>
    </row>
    <row r="49" spans="1:51" x14ac:dyDescent="0.3">
      <c r="A49" s="9">
        <v>46</v>
      </c>
      <c r="B49" s="12" t="s">
        <v>71</v>
      </c>
      <c r="C49" s="9"/>
      <c r="D49" s="9"/>
      <c r="E49" s="9">
        <v>1</v>
      </c>
      <c r="F49" s="9"/>
      <c r="G49" s="9">
        <v>1</v>
      </c>
      <c r="H49" s="9"/>
      <c r="I49" s="9">
        <v>1</v>
      </c>
      <c r="J49" s="9"/>
      <c r="K49" s="9">
        <v>13</v>
      </c>
      <c r="L49" s="9"/>
      <c r="M49" s="9">
        <v>10</v>
      </c>
      <c r="N49" s="9"/>
      <c r="O49" s="9">
        <v>12</v>
      </c>
      <c r="P49" s="9"/>
      <c r="Q49" s="9">
        <v>14</v>
      </c>
      <c r="R49" s="9"/>
      <c r="S49" s="9">
        <v>13</v>
      </c>
      <c r="T49" s="9"/>
      <c r="U49" s="9">
        <v>1</v>
      </c>
      <c r="V49" s="9"/>
      <c r="W49" s="9"/>
      <c r="X49" s="9"/>
      <c r="Y49" s="9">
        <v>4</v>
      </c>
      <c r="Z49" s="9"/>
      <c r="AA49" s="9">
        <v>1</v>
      </c>
      <c r="AB49" s="9"/>
      <c r="AC49" s="9">
        <v>1</v>
      </c>
      <c r="AD49" s="9"/>
      <c r="AE49" s="9"/>
      <c r="AF49" s="9"/>
      <c r="AG49" s="9"/>
      <c r="AH49" s="9"/>
      <c r="AI49" s="9"/>
      <c r="AJ49" s="9"/>
      <c r="AK49" s="9">
        <v>1</v>
      </c>
      <c r="AL49" s="9"/>
      <c r="AM49" s="9"/>
      <c r="AN49" s="9"/>
      <c r="AO49" s="9">
        <v>1</v>
      </c>
      <c r="AP49" s="9"/>
      <c r="AQ49" s="9"/>
      <c r="AR49" s="9"/>
      <c r="AS49" s="9"/>
      <c r="AT49" s="9"/>
      <c r="AU49" s="9"/>
      <c r="AV49" s="9"/>
      <c r="AW49" s="9">
        <f t="shared" si="2"/>
        <v>73</v>
      </c>
      <c r="AX49" s="9">
        <f t="shared" si="2"/>
        <v>0</v>
      </c>
      <c r="AY49" s="9">
        <f t="shared" si="1"/>
        <v>73</v>
      </c>
    </row>
    <row r="50" spans="1:51" x14ac:dyDescent="0.3">
      <c r="A50" s="9">
        <v>47</v>
      </c>
      <c r="B50" s="12" t="s">
        <v>72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>
        <v>4</v>
      </c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</row>
    <row r="51" spans="1:51" x14ac:dyDescent="0.3">
      <c r="A51" s="9">
        <v>48</v>
      </c>
      <c r="B51" s="12" t="s">
        <v>73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>
        <v>1</v>
      </c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</row>
    <row r="52" spans="1:51" x14ac:dyDescent="0.3">
      <c r="B52" s="13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>
        <f t="shared" ref="AW52:AX53" si="3">C52+E52+G52+I52+K52+M52+O52+Q52+S52+U52+W52+Y52+AA52+AC52+AE52+AG52+AI52+AK52+AM52+AQ52+AU52</f>
        <v>0</v>
      </c>
      <c r="AX52" s="9">
        <f t="shared" si="3"/>
        <v>0</v>
      </c>
      <c r="AY52" s="9">
        <f t="shared" ref="AY52:AY53" si="4">AW52+AX52</f>
        <v>0</v>
      </c>
    </row>
    <row r="53" spans="1:51" x14ac:dyDescent="0.3">
      <c r="B53" s="12"/>
      <c r="C53" s="9">
        <f>SUM(C4:C52)</f>
        <v>201</v>
      </c>
      <c r="D53" s="9">
        <f t="shared" ref="D53:AV53" si="5">SUM(D4:D52)</f>
        <v>7</v>
      </c>
      <c r="E53" s="9">
        <f t="shared" si="5"/>
        <v>20</v>
      </c>
      <c r="F53" s="9">
        <f t="shared" si="5"/>
        <v>0</v>
      </c>
      <c r="G53" s="9">
        <f t="shared" si="5"/>
        <v>18</v>
      </c>
      <c r="H53" s="9">
        <f t="shared" si="5"/>
        <v>0</v>
      </c>
      <c r="I53" s="9">
        <f t="shared" si="5"/>
        <v>14</v>
      </c>
      <c r="J53" s="9">
        <f t="shared" si="5"/>
        <v>0</v>
      </c>
      <c r="K53" s="9">
        <f t="shared" si="5"/>
        <v>239</v>
      </c>
      <c r="L53" s="9">
        <f t="shared" si="5"/>
        <v>6</v>
      </c>
      <c r="M53" s="9">
        <f t="shared" si="5"/>
        <v>151</v>
      </c>
      <c r="N53" s="9">
        <f t="shared" si="5"/>
        <v>1</v>
      </c>
      <c r="O53" s="9">
        <f t="shared" si="5"/>
        <v>161</v>
      </c>
      <c r="P53" s="9">
        <f t="shared" si="5"/>
        <v>7</v>
      </c>
      <c r="Q53" s="9">
        <f t="shared" si="5"/>
        <v>257</v>
      </c>
      <c r="R53" s="9">
        <f t="shared" si="5"/>
        <v>1</v>
      </c>
      <c r="S53" s="9">
        <f t="shared" si="5"/>
        <v>177</v>
      </c>
      <c r="T53" s="9">
        <f t="shared" si="5"/>
        <v>0</v>
      </c>
      <c r="U53" s="9">
        <f t="shared" si="5"/>
        <v>20</v>
      </c>
      <c r="V53" s="9">
        <f t="shared" si="5"/>
        <v>0</v>
      </c>
      <c r="W53" s="9">
        <f t="shared" si="5"/>
        <v>20</v>
      </c>
      <c r="X53" s="9">
        <f t="shared" si="5"/>
        <v>0</v>
      </c>
      <c r="Y53" s="9">
        <f t="shared" si="5"/>
        <v>26</v>
      </c>
      <c r="Z53" s="9">
        <f t="shared" si="5"/>
        <v>0</v>
      </c>
      <c r="AA53" s="9">
        <f t="shared" si="5"/>
        <v>19</v>
      </c>
      <c r="AB53" s="9">
        <f t="shared" si="5"/>
        <v>0</v>
      </c>
      <c r="AC53" s="9">
        <f t="shared" si="5"/>
        <v>16</v>
      </c>
      <c r="AD53" s="9">
        <f t="shared" si="5"/>
        <v>0</v>
      </c>
      <c r="AE53" s="9">
        <f t="shared" si="5"/>
        <v>15</v>
      </c>
      <c r="AF53" s="9">
        <f t="shared" si="5"/>
        <v>0</v>
      </c>
      <c r="AG53" s="9">
        <f t="shared" si="5"/>
        <v>9</v>
      </c>
      <c r="AH53" s="9">
        <f t="shared" si="5"/>
        <v>0</v>
      </c>
      <c r="AI53" s="9">
        <f t="shared" si="5"/>
        <v>1</v>
      </c>
      <c r="AJ53" s="9">
        <f t="shared" si="5"/>
        <v>0</v>
      </c>
      <c r="AK53" s="9">
        <f t="shared" si="5"/>
        <v>7</v>
      </c>
      <c r="AL53" s="9">
        <f t="shared" si="5"/>
        <v>0</v>
      </c>
      <c r="AM53" s="9">
        <f t="shared" si="5"/>
        <v>14</v>
      </c>
      <c r="AN53" s="9">
        <f t="shared" si="5"/>
        <v>0</v>
      </c>
      <c r="AO53" s="9">
        <f t="shared" si="5"/>
        <v>7</v>
      </c>
      <c r="AP53" s="9">
        <f t="shared" si="5"/>
        <v>0</v>
      </c>
      <c r="AQ53" s="9">
        <f t="shared" si="5"/>
        <v>7</v>
      </c>
      <c r="AR53" s="9">
        <f t="shared" si="5"/>
        <v>0</v>
      </c>
      <c r="AS53" s="9"/>
      <c r="AT53" s="9"/>
      <c r="AU53" s="9">
        <f t="shared" si="5"/>
        <v>6</v>
      </c>
      <c r="AV53" s="9">
        <f t="shared" si="5"/>
        <v>0</v>
      </c>
      <c r="AW53" s="9">
        <f t="shared" si="3"/>
        <v>1398</v>
      </c>
      <c r="AX53" s="9">
        <f t="shared" si="3"/>
        <v>22</v>
      </c>
      <c r="AY53" s="9">
        <f t="shared" si="4"/>
        <v>1420</v>
      </c>
    </row>
  </sheetData>
  <mergeCells count="23">
    <mergeCell ref="AM2:AN2"/>
    <mergeCell ref="AO2:AP2"/>
    <mergeCell ref="AQ2:AR2"/>
    <mergeCell ref="AS2:AT2"/>
    <mergeCell ref="AU2:AV2"/>
    <mergeCell ref="AA2:AB2"/>
    <mergeCell ref="AC2:AD2"/>
    <mergeCell ref="AE2:AF2"/>
    <mergeCell ref="AG2:AH2"/>
    <mergeCell ref="AI2:AJ2"/>
    <mergeCell ref="AK2:AL2"/>
    <mergeCell ref="O2:P2"/>
    <mergeCell ref="Q2:R2"/>
    <mergeCell ref="S2:T2"/>
    <mergeCell ref="U2:V2"/>
    <mergeCell ref="W2:X2"/>
    <mergeCell ref="Y2:Z2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2026-08-14T04:37:17Z</dcterms:created>
  <dcterms:modified xsi:type="dcterms:W3CDTF">2026-08-14T04:38:11Z</dcterms:modified>
</cp:coreProperties>
</file>